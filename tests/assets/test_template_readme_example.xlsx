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tti\Desktop\xlfill\tests\assets\"/>
    </mc:Choice>
  </mc:AlternateContent>
  <xr:revisionPtr revIDLastSave="0" documentId="13_ncr:1_{F3759720-51D2-4A18-A44A-34866E8CD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History" sheetId="1" r:id="rId1"/>
  </sheets>
  <definedNames>
    <definedName name="currency">'Stock History'!$C$4</definedName>
    <definedName name="target_price">'Stock History'!$C$5</definedName>
    <definedName name="title">'Stock History'!$B$2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7" i="1" a="1"/>
  <c r="D11" i="1"/>
  <c r="D12" i="1"/>
  <c r="D13" i="1"/>
  <c r="D14" i="1"/>
  <c r="D15" i="1"/>
  <c r="C6" i="1" l="1" a="1"/>
  <c r="C8" i="1" a="1"/>
  <c r="E11" i="1" a="1"/>
  <c r="E12" i="1" a="1"/>
  <c r="E13" i="1" a="1"/>
  <c r="E14" i="1" a="1"/>
  <c r="E15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Harald Böttiger</author>
  </authors>
  <commentList>
    <comment ref="B2" authorId="0" shapeId="0" xr:uid="{042F3B4D-DE81-4432-B82B-1D6FBA219967}">
      <text>
        <r>
          <rPr>
            <b/>
            <sz val="9"/>
            <color indexed="81"/>
            <rFont val="Tahoma"/>
            <family val="2"/>
          </rPr>
          <t>Named Cell: title</t>
        </r>
      </text>
    </comment>
    <comment ref="C4" authorId="0" shapeId="0" xr:uid="{66368C0F-B41A-4FC8-BECA-74D38F43ECE1}">
      <text>
        <r>
          <rPr>
            <b/>
            <sz val="9"/>
            <color indexed="81"/>
            <rFont val="Tahoma"/>
            <family val="2"/>
          </rPr>
          <t>Named Cell: currency</t>
        </r>
      </text>
    </comment>
    <comment ref="C5" authorId="0" shapeId="0" xr:uid="{EBE4AE59-2C6E-4ED8-BB9D-8434C1BFBCDC}">
      <text>
        <r>
          <rPr>
            <b/>
            <sz val="9"/>
            <color indexed="81"/>
            <rFont val="Tahoma"/>
            <family val="2"/>
          </rPr>
          <t>Named Cell: target_price</t>
        </r>
      </text>
    </comment>
    <comment ref="B10" authorId="0" shapeId="0" xr:uid="{D43EB568-72C9-4383-9D4E-7AB4CE6A64D6}">
      <text>
        <r>
          <rPr>
            <b/>
            <sz val="9"/>
            <color indexed="81"/>
            <rFont val="Tahoma"/>
            <family val="2"/>
          </rPr>
          <t>Table name: StockPriceHistory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<sst xmlns="http://schemas.openxmlformats.org/spreadsheetml/2006/main" count="11" uniqueCount="11">
  <si>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Date</t>
  </si>
  <si>
    <t>Stock Price</t>
  </si>
  <si>
    <t>Currency:</t>
  </si>
  <si>
    <t>Target</t>
  </si>
  <si>
    <t>Target Price</t>
  </si>
  <si>
    <t>Max Consecuative days above target</t>
  </si>
  <si>
    <t>START</t>
  </si>
  <si>
    <t>END</t>
  </si>
  <si>
    <t>Longest Streak</t>
  </si>
  <si>
    <t>Placeholder CUR</t>
  </si>
  <si>
    <t>Stock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</si>
</sst>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r&quot;#,##0.00"/>
  </numFmts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5">
    <dxf>
      <numFmt numFmtId="2" formatCode="0.00"/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numFmt numFmtId="2" formatCode="0.00"/>
    </dxf>
    <dxf>
      <numFmt numFmtId="2" formatCode="0.0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Stock Price with Longest Streak Above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History'!$C$10</c:f>
              <c:strCache>
                <c:ptCount val="1"/>
                <c:pt idx="0">
                  <c:v>Stock Price</c:v>
                </c:pt>
              </c:strCache>
            </c:strRef>
          </c:tx>
          <c:spPr>
            <a:ln w="2540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'Stock History'!$B$11:$B$15</c:f>
              <c:numCache>
                <c:formatCode>m/d/yyyy</c:formatCode>
                <c:ptCount val="5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</c:numCache>
            </c:numRef>
          </c:cat>
          <c:val>
            <c:numRef>
              <c:f>'Stock History'!$C$11:$C$15</c:f>
              <c:numCache>
                <c:formatCode>0.00</c:formatCode>
                <c:ptCount val="5"/>
                <c:pt idx="0">
                  <c:v>80</c:v>
                </c:pt>
                <c:pt idx="1">
                  <c:v>200</c:v>
                </c:pt>
                <c:pt idx="2">
                  <c:v>300</c:v>
                </c:pt>
                <c:pt idx="3">
                  <c:v>150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8-4CBD-B6BC-18727C27BEA9}"/>
            </c:ext>
          </c:extLst>
        </c:ser>
        <c:ser>
          <c:idx val="1"/>
          <c:order val="1"/>
          <c:tx>
            <c:strRef>
              <c:f>'Stock History'!$D$10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'Stock History'!$B$11:$B$15</c:f>
              <c:numCache>
                <c:formatCode>m/d/yyyy</c:formatCode>
                <c:ptCount val="5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</c:numCache>
            </c:numRef>
          </c:cat>
          <c:val>
            <c:numRef>
              <c:f>'Stock History'!$D$11:$D$15</c:f>
              <c:numCache>
                <c:formatCode>0.00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F8-4CBD-B6BC-18727C27BEA9}"/>
            </c:ext>
          </c:extLst>
        </c:ser>
        <c:ser>
          <c:idx val="2"/>
          <c:order val="2"/>
          <c:tx>
            <c:strRef>
              <c:f>'Stock History'!$E$10</c:f>
              <c:strCache>
                <c:ptCount val="1"/>
                <c:pt idx="0">
                  <c:v>Longest Streak</c:v>
                </c:pt>
              </c:strCache>
            </c:strRef>
          </c:tx>
          <c:spPr>
            <a:ln w="50800" cap="rnd">
              <a:solidFill>
                <a:srgbClr val="FF6B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'Stock History'!$B$11:$B$15</c:f>
              <c:numCache>
                <c:formatCode>m/d/yyyy</c:formatCode>
                <c:ptCount val="5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</c:numCache>
            </c:numRef>
          </c:cat>
          <c:val>
            <c:numRef>
              <c:f>'Stock History'!$E$11:$E$15</c:f>
              <c:numCache>
                <c:formatCode>"kr"#\ ##0.00</c:formatCode>
                <c:ptCount val="5"/>
                <c:pt idx="0">
                  <c:v>#N/A</c:v>
                </c:pt>
                <c:pt idx="1">
                  <c:v>200</c:v>
                </c:pt>
                <c:pt idx="2">
                  <c:v>300</c:v>
                </c:pt>
                <c:pt idx="3">
                  <c:v>150</c:v>
                </c:pt>
                <c:pt idx="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F8-4CBD-B6BC-18727C27B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85183"/>
        <c:axId val="73679759"/>
      </c:lineChart>
      <c:dateAx>
        <c:axId val="712851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3679759"/>
        <c:crosses val="autoZero"/>
        <c:auto val="1"/>
        <c:lblOffset val="100"/>
        <c:baseTimeUnit val="months"/>
      </c:dateAx>
      <c:valAx>
        <c:axId val="7367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128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75799</xdr:colOff>
      <xdr:row>1</xdr:row>
      <xdr:rowOff>6818</xdr:rowOff>
    </xdr:from>
    <xdr:to>
      <xdr:col>12</xdr:col>
      <xdr:colOff>403459</xdr:colOff>
      <xdr:row>14</xdr:row>
      <xdr:rowOff>142774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19A21-377B-FA61-68B4-2546A3F50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D5B32-EE89-457F-B88D-B7D28F74CF40}" name="StockPriceHistory" displayName="StockPriceHistory" ref="B10:E15" totalsRowShown="0">
  <autoFilter ref="B10:E15" xr:uid="{7F7D5B32-EE89-457F-B88D-B7D28F74CF40}"/>
  <tableColumns count="4">
    <tableColumn id="1" xr3:uid="{C79F06E1-AE75-4725-B0B2-E92B5ECE0FED}" name="Date" dataDxfId="4"/>
    <tableColumn id="2" xr3:uid="{EA9C0E20-A10E-495F-B395-27ACE8D1620B}" name="Stock Price" dataDxfId="0"/>
    <tableColumn id="4" xr3:uid="{BF5E6FDD-1F2E-40C2-9EED-AAA374E57C2C}" name="Target" dataDxfId="3">
      <calculatedColumnFormula>target_price</calculatedColumnFormula>
    </tableColumn>
    <tableColumn id="5" xr3:uid="{238CA38B-7C36-4D36-B967-F40B1C72E90F}" name="Longest Streak" dataDxfId="2">
      <calculatedColumnFormula array="1">_xlfn.LET(
        _xlpm.dates, StockPriceHistory[Date],
        _xlpm.prices, StockPriceHistory[Stock Price],
        _xlpm.target, target_price,
        _xlpm.currentDate, StockPriceHistory[[#This Row],[Date]],
        _xlpm.currentPrice, StockPriceHistory[[#This Row],[Stock Price]],
        _xlpm.above, (_xlpm.prices &gt; _xlpm.target) * 1,
        _xlpm.streakLengths, _xlfn.SCAN(0, _xlpm.above, _xlfn.LAMBDA(_xlpm.acc,_xlpm.val, IF(_xlpm.val = 1, _xlpm.acc + 1, 0))),
        _xlpm.maxLen, MAX(_xlpm.streakLengths),
        _xlpm.endIdx, MATCH(_xlpm.maxLen, _xlpm.streakLengths, 0),
        _xlpm.startIdx, _xlpm.endIdx - _xlpm.maxLen + 1,
        _xlpm.startDate, INDEX(_xlpm.dates, _xlpm.startIdx),
        _xlpm.endDate, INDEX(_xlpm.dates, _xlpm.endIdx),
        IF(AND(_xlpm.currentDate &gt;= _xlpm.startDate, _xlpm.currentDate &lt;= _xlpm.endDate, _xlpm.currentPrice &gt; _xlpm.target), _xlpm.currentPrice, NA())
    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5"/>
  <sheetViews>
    <sheetView tabSelected="1" zoomScale="95" workbookViewId="0">
      <selection activeCell="C17" sqref="C17"/>
    </sheetView>
  </sheetViews>
  <sheetFormatPr defaultRowHeight="14.4" x14ac:dyDescent="0.3"/>
  <cols>
    <col min="2" max="2" width="32.44140625" customWidth="1"/>
    <col min="3" max="3" width="24.77734375" style="3" customWidth="1"/>
    <col min="4" max="4" width="12.33203125" customWidth="1"/>
    <col min="5" max="5" width="15.5546875" customWidth="1"/>
  </cols>
  <sheetData>
    <row r="2" spans="2:5" ht="33.6" x14ac:dyDescent="0.65">
      <c r="B2" s="4" t="s">
        <v>10</v>
      </c>
      <c r="C2" s="4"/>
      <c r="D2" s="4"/>
    </row>
    <row r="4" spans="2:5" x14ac:dyDescent="0.3">
      <c r="B4" t="s">
        <v>2</v>
      </c>
      <c r="C4" s="5" t="s">
        <v>9</v>
      </c>
    </row>
    <row r="5" spans="2:5" x14ac:dyDescent="0.3">
      <c r="B5" t="s">
        <v>4</v>
      </c>
      <c r="C5" s="3">
        <v>100</v>
      </c>
    </row>
    <row r="6" spans="2:5" x14ac:dyDescent="0.3">
      <c r="B6" t="s">
        <v>5</v>
      </c>
      <c r="C6" cm="1">
        <f t="array" ref="C6">MAX(_xlfn.SCAN(0,StockPriceHistory[Stock Price],_xlfn.LAMBDA(_xlpm.LAST_ROW,_xlpm.CURRENT_ROW,IF(_xlpm.CURRENT_ROW&gt;target_price,_xlpm.LAST_ROW+1,0))))</f>
        <v>3</v>
      </c>
    </row>
    <row r="7" spans="2:5" x14ac:dyDescent="0.3">
      <c r="B7" t="s">
        <v>6</v>
      </c>
      <c r="C7" s="1" cm="1">
        <f t="array" ref="C7">_xlfn.LET(
        _xlpm.dates, StockPriceHistory[Date],
        _xlpm.prices, StockPriceHistory[Stock Price],
        _xlpm.target, target_price,
        _xlpm.above, (_xlpm.prices &gt; _xlpm.target) * 1,
        _xlpm.streakLengths, _xlfn.SCAN(0, _xlpm.above, _xlfn.LAMBDA(_xlpm.acc,_xlpm.val, IF(_xlpm.val = 1, _xlpm.acc + 1, 0))),
        _xlpm.maxLen, MAX(_xlpm.streakLengths),
        _xlpm.endIdx, MATCH(_xlpm.maxLen, _xlpm.streakLengths, 0),
        _xlpm.startIdx, _xlpm.endIdx - _xlpm.maxLen + 1,
        INDEX(_xlpm.dates, _xlpm.startIdx)
    )</f>
        <v>44409</v>
      </c>
    </row>
    <row r="8" spans="2:5" x14ac:dyDescent="0.3">
      <c r="B8" t="s">
        <v>7</v>
      </c>
      <c r="C8" s="1" cm="1">
        <f t="array" ref="C8">_xlfn.LET(
        _xlpm.dates, StockPriceHistory[Date],
        _xlpm.prices, StockPriceHistory[Stock Price],
        _xlpm.target, target_price,
        _xlpm.above, (_xlpm.prices &gt; _xlpm.target) * 1,
        _xlpm.streakLengths, _xlfn.SCAN(0, _xlpm.above, _xlfn.LAMBDA(_xlpm.acc,_xlpm.val, IF(_xlpm.val = 1, _xlpm.acc + 1, 0))),
        _xlpm.maxLen, MAX(_xlpm.streakLengths),
        _xlpm.endIdx, MATCH(_xlpm.maxLen, _xlpm.streakLengths, 0),
        INDEX(_xlpm.dates, _xlpm.endIdx)
    )</f>
        <v>44470</v>
      </c>
    </row>
    <row r="10" spans="2:5" x14ac:dyDescent="0.3">
      <c r="B10" t="s">
        <v>0</v>
      </c>
      <c r="C10" s="3" t="s">
        <v>1</v>
      </c>
      <c r="D10" s="3" t="s">
        <v>3</v>
      </c>
      <c r="E10" s="3" t="s">
        <v>8</v>
      </c>
    </row>
    <row r="11" spans="2:5" x14ac:dyDescent="0.3">
      <c r="B11" s="1">
        <v>44378</v>
      </c>
      <c r="C11" s="3">
        <f>80</f>
        <v>80</v>
      </c>
      <c r="D11" s="3">
        <f>target_price</f>
        <v>100</v>
      </c>
      <c r="E11" s="2" t="e" cm="1">
        <f t="array" ref="E11">_xlfn.LET(
        _xlpm.dates, StockPriceHistory[Date],
        _xlpm.prices, StockPriceHistory[Stock Price],
        _xlpm.target, target_price,
        _xlpm.currentDate, StockPriceHistory[[#This Row],[Date]],
        _xlpm.currentPrice, StockPriceHistory[[#This Row],[Stock Price]],
        _xlpm.above, (_xlpm.prices &gt; _xlpm.target) * 1,
        _xlpm.streakLengths, _xlfn.SCAN(0, _xlpm.above, _xlfn.LAMBDA(_xlpm.acc,_xlpm.val, IF(_xlpm.val = 1, _xlpm.acc + 1, 0))),
        _xlpm.maxLen, MAX(_xlpm.streakLengths),
        _xlpm.endIdx, MATCH(_xlpm.maxLen, _xlpm.streakLengths, 0),
        _xlpm.startIdx, _xlpm.endIdx - _xlpm.maxLen + 1,
        _xlpm.startDate, INDEX(_xlpm.dates, _xlpm.startIdx),
        _xlpm.endDate, INDEX(_xlpm.dates, _xlpm.endIdx),
        IF(AND(_xlpm.currentDate &gt;= _xlpm.startDate, _xlpm.currentDate &lt;= _xlpm.endDate, _xlpm.currentPrice &gt; _xlpm.target), _xlpm.currentPrice, NA())
    )</f>
        <v>#N/A</v>
      </c>
    </row>
    <row r="12" spans="2:5" x14ac:dyDescent="0.3">
      <c r="B12" s="1">
        <v>44409</v>
      </c>
      <c r="C12" s="3">
        <v>200</v>
      </c>
      <c r="D12" s="3">
        <f>target_price</f>
        <v>100</v>
      </c>
      <c r="E12" s="2" cm="1">
        <f t="array" ref="E12">_xlfn.LET(
        _xlpm.dates, StockPriceHistory[Date],
        _xlpm.prices, StockPriceHistory[Stock Price],
        _xlpm.target, target_price,
        _xlpm.currentDate, StockPriceHistory[[#This Row],[Date]],
        _xlpm.currentPrice, StockPriceHistory[[#This Row],[Stock Price]],
        _xlpm.above, (_xlpm.prices &gt; _xlpm.target) * 1,
        _xlpm.streakLengths, _xlfn.SCAN(0, _xlpm.above, _xlfn.LAMBDA(_xlpm.acc,_xlpm.val, IF(_xlpm.val = 1, _xlpm.acc + 1, 0))),
        _xlpm.maxLen, MAX(_xlpm.streakLengths),
        _xlpm.endIdx, MATCH(_xlpm.maxLen, _xlpm.streakLengths, 0),
        _xlpm.startIdx, _xlpm.endIdx - _xlpm.maxLen + 1,
        _xlpm.startDate, INDEX(_xlpm.dates, _xlpm.startIdx),
        _xlpm.endDate, INDEX(_xlpm.dates, _xlpm.endIdx),
        IF(AND(_xlpm.currentDate &gt;= _xlpm.startDate, _xlpm.currentDate &lt;= _xlpm.endDate, _xlpm.currentPrice &gt; _xlpm.target), _xlpm.currentPrice, NA())
    )</f>
        <v>200</v>
      </c>
    </row>
    <row r="13" spans="2:5" x14ac:dyDescent="0.3">
      <c r="B13" s="1">
        <v>44440</v>
      </c>
      <c r="C13" s="3">
        <v>300</v>
      </c>
      <c r="D13" s="3">
        <f>target_price</f>
        <v>100</v>
      </c>
      <c r="E13" s="2" cm="1">
        <f t="array" ref="E13">_xlfn.LET(
        _xlpm.dates, StockPriceHistory[Date],
        _xlpm.prices, StockPriceHistory[Stock Price],
        _xlpm.target, target_price,
        _xlpm.currentDate, StockPriceHistory[[#This Row],[Date]],
        _xlpm.currentPrice, StockPriceHistory[[#This Row],[Stock Price]],
        _xlpm.above, (_xlpm.prices &gt; _xlpm.target) * 1,
        _xlpm.streakLengths, _xlfn.SCAN(0, _xlpm.above, _xlfn.LAMBDA(_xlpm.acc,_xlpm.val, IF(_xlpm.val = 1, _xlpm.acc + 1, 0))),
        _xlpm.maxLen, MAX(_xlpm.streakLengths),
        _xlpm.endIdx, MATCH(_xlpm.maxLen, _xlpm.streakLengths, 0),
        _xlpm.startIdx, _xlpm.endIdx - _xlpm.maxLen + 1,
        _xlpm.startDate, INDEX(_xlpm.dates, _xlpm.startIdx),
        _xlpm.endDate, INDEX(_xlpm.dates, _xlpm.endIdx),
        IF(AND(_xlpm.currentDate &gt;= _xlpm.startDate, _xlpm.currentDate &lt;= _xlpm.endDate, _xlpm.currentPrice &gt; _xlpm.target), _xlpm.currentPrice, NA())
    )</f>
        <v>300</v>
      </c>
    </row>
    <row r="14" spans="2:5" x14ac:dyDescent="0.3">
      <c r="B14" s="1">
        <v>44470</v>
      </c>
      <c r="C14" s="3">
        <v>150</v>
      </c>
      <c r="D14" s="3">
        <f>target_price</f>
        <v>100</v>
      </c>
      <c r="E14" s="2" cm="1">
        <f t="array" ref="E14">_xlfn.LET(
        _xlpm.dates, StockPriceHistory[Date],
        _xlpm.prices, StockPriceHistory[Stock Price],
        _xlpm.target, target_price,
        _xlpm.currentDate, StockPriceHistory[[#This Row],[Date]],
        _xlpm.currentPrice, StockPriceHistory[[#This Row],[Stock Price]],
        _xlpm.above, (_xlpm.prices &gt; _xlpm.target) * 1,
        _xlpm.streakLengths, _xlfn.SCAN(0, _xlpm.above, _xlfn.LAMBDA(_xlpm.acc,_xlpm.val, IF(_xlpm.val = 1, _xlpm.acc + 1, 0))),
        _xlpm.maxLen, MAX(_xlpm.streakLengths),
        _xlpm.endIdx, MATCH(_xlpm.maxLen, _xlpm.streakLengths, 0),
        _xlpm.startIdx, _xlpm.endIdx - _xlpm.maxLen + 1,
        _xlpm.startDate, INDEX(_xlpm.dates, _xlpm.startIdx),
        _xlpm.endDate, INDEX(_xlpm.dates, _xlpm.endIdx),
        IF(AND(_xlpm.currentDate &gt;= _xlpm.startDate, _xlpm.currentDate &lt;= _xlpm.endDate, _xlpm.currentPrice &gt; _xlpm.target), _xlpm.currentPrice, NA())
    )</f>
        <v>150</v>
      </c>
    </row>
    <row r="15" spans="2:5" x14ac:dyDescent="0.3">
      <c r="B15" s="1">
        <v>44501</v>
      </c>
      <c r="C15" s="3">
        <v>90</v>
      </c>
      <c r="D15" s="3">
        <f>target_price</f>
        <v>100</v>
      </c>
      <c r="E15" s="2" t="e" cm="1">
        <f t="array" ref="E15">_xlfn.LET(
        _xlpm.dates, StockPriceHistory[Date],
        _xlpm.prices, StockPriceHistory[Stock Price],
        _xlpm.target, target_price,
        _xlpm.currentDate, StockPriceHistory[[#This Row],[Date]],
        _xlpm.currentPrice, StockPriceHistory[[#This Row],[Stock Price]],
        _xlpm.above, (_xlpm.prices &gt; _xlpm.target) * 1,
        _xlpm.streakLengths, _xlfn.SCAN(0, _xlpm.above, _xlfn.LAMBDA(_xlpm.acc,_xlpm.val, IF(_xlpm.val = 1, _xlpm.acc + 1, 0))),
        _xlpm.maxLen, MAX(_xlpm.streakLengths),
        _xlpm.endIdx, MATCH(_xlpm.maxLen, _xlpm.streakLengths, 0),
        _xlpm.startIdx, _xlpm.endIdx - _xlpm.maxLen + 1,
        _xlpm.startDate, INDEX(_xlpm.dates, _xlpm.startIdx),
        _xlpm.endDate, INDEX(_xlpm.dates, _xlpm.endIdx),
        IF(AND(_xlpm.currentDate &gt;= _xlpm.startDate, _xlpm.currentDate &lt;= _xlpm.endDate, _xlpm.currentPrice &gt; _xlpm.target), _xlpm.currentPrice, NA())
    )</f>
        <v>#N/A</v>
      </c>
    </row>
  </sheetData>
  <mergeCells count="1">
    <mergeCell ref="B2:D2"/>
  </mergeCells>
  <conditionalFormatting sqref="C11:E15">
    <cfRule type="expression" dxfId="1" priority="1">
      <formula>C11&gt;target_price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Stock History</vt:lpstr>
      <vt:lpstr>currency</vt:lpstr>
      <vt:lpstr>target_price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2015-06-05T18:17:20Z</dcterms:created>
  <dcterms:modified xsi:type="dcterms:W3CDTF">2026-07-11T21:36:23Z</dcterms:modified>
</cp:coreProperties>
</file>